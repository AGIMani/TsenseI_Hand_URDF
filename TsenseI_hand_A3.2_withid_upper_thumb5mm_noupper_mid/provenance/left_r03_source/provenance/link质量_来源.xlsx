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1CC678C1D05461B965AB73481DE6B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71450"/>
          <a:ext cx="2743200" cy="3790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71D8ECFA8C54351B1EE1EDD7D110C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9515" y="1112520"/>
          <a:ext cx="3248025" cy="3914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77F1C98E78842709356FA86F787C0E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9515" y="2070100"/>
          <a:ext cx="3009900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42B4D815B4648D6B9EF29D60CFE4E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69515" y="2870835"/>
          <a:ext cx="2333625" cy="341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D193F9A7350488399BE042C82FD55E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69515" y="4248150"/>
          <a:ext cx="2562225" cy="363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8140AA2B35F4821A37228BB835084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69515" y="5158740"/>
          <a:ext cx="2609850" cy="3743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C063A372D07490DAA660653ED81BDE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69515" y="6123940"/>
          <a:ext cx="3133725" cy="2990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86FD46217394FC486DA5A484F6473AB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69515" y="6633210"/>
          <a:ext cx="2228850" cy="3305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509AC37E98C4C5C9E5E0CF185DAD7A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69515" y="8030210"/>
          <a:ext cx="2476500" cy="382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4E2E6C6B9BE4F4CAB0B9F656F60D8D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69515" y="9041130"/>
          <a:ext cx="2705100" cy="222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230DA99A6AB4E02B83CEA93FCD046F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9515" y="9326245"/>
          <a:ext cx="2409825" cy="325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BC703AA7CF0940A9A034D5BDBEC53BF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69515" y="10598150"/>
          <a:ext cx="3200400" cy="279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08F9F832319643DAAB30123B1514E4A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9515" y="11107420"/>
          <a:ext cx="25527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5C157A4383B447D9983B46AB6E7D59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69515" y="12277090"/>
          <a:ext cx="2419350" cy="3190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058A3DB3C2747F985536BD5843F4F5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469515" y="13009245"/>
          <a:ext cx="248602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B926342D5F714A26AE7E4A14B938671A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469515" y="14580870"/>
          <a:ext cx="3133725" cy="2895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EEE5FB4100B435FB55C6CECA4D5F1C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69515" y="15137765"/>
          <a:ext cx="2238375" cy="3486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F8AC95A94C3407DA71B7B5C1364437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469515" y="16603345"/>
          <a:ext cx="2524125" cy="3448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2F67111567E4955ADAAD8D38293AA0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469515" y="17378680"/>
          <a:ext cx="2371725" cy="325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86ABF725C70D4C67829ABDC2832F3AD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469515" y="18338165"/>
          <a:ext cx="2352675" cy="312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7353D46753341F2BC2A7EDDA2F7546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469515" y="19248755"/>
          <a:ext cx="2486025" cy="3190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CCC0D2CE0E8C4DC69D5E8C71F235B3A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69515" y="20159980"/>
          <a:ext cx="1905000" cy="3352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<sst xmlns="http://schemas.openxmlformats.org/spreadsheetml/2006/main" count="25" uniqueCount="25">
  <si>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名称</t>
  </si>
  <si>
    <t>质量（g）</t>
  </si>
  <si>
    <t>模型图片</t>
  </si>
  <si>
    <t>base_link</t>
  </si>
  <si>
    <t>left_hand_index_DIP_link</t>
  </si>
  <si>
    <t>left_hand_index_MCP_link</t>
  </si>
  <si>
    <t>left_hand_index_PIP_link</t>
  </si>
  <si>
    <t>left_hand_index_swing_link</t>
  </si>
  <si>
    <t>left_hand_mid_DIP_link</t>
  </si>
  <si>
    <t>left_hand_mid_MCP_link</t>
  </si>
  <si>
    <t>left_hand_mid_PIP_link</t>
  </si>
  <si>
    <t>left_hand_mid_swing_link</t>
  </si>
  <si>
    <t>Left_hand_palm_link</t>
  </si>
  <si>
    <t>left_hand_pinky_DIP_link</t>
  </si>
  <si>
    <t>left_hand_pinky_MCP_link</t>
  </si>
  <si>
    <t>left_hand_pinky_PIP_link</t>
  </si>
  <si>
    <t>left_hand_pinky_SWING_link</t>
  </si>
  <si>
    <t>left_hand_ring_DIP_link</t>
  </si>
  <si>
    <t>left_hand_ring_MCP_link</t>
  </si>
  <si>
    <t>left_hand_ring_PIP_link</t>
  </si>
  <si>
    <t>left_hand_ring_swing_link</t>
  </si>
  <si>
    <t>left_hand_thumb_MCP_link</t>
  </si>
  <si>
    <t>left_hand_thumb_PIP_link</t>
  </si>
  <si>
    <t>left_hand_thumb_rota_block_link</t>
  </si>
  <si>
    <t>left_hand_thumb_rotaback_link2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</si>
</sst>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topLeftCell="A7" workbookViewId="0">
      <selection activeCell="G29" sqref="G29"/>
    </sheetView>
  </sheetViews>
  <sheetFormatPr defaultColWidth="9" defaultRowHeight="13.5" outlineLevelCol="2"/>
  <cols>
    <col min="1" max="1" width="28.125" customWidth="1"/>
    <col min="3" max="3" width="12.5"/>
  </cols>
  <sheetData>
    <row r="1" spans="1:3">
      <c r="A1" t="s">
        <v>0</v>
      </c>
      <c r="B1" t="s">
        <v>1</v>
      </c>
      <c r="C1" t="s">
        <v>2</v>
      </c>
    </row>
    <row r="2" ht="75" spans="1:3">
      <c r="A2" t="s">
        <v>3</v>
      </c>
      <c r="B2">
        <v>150</v>
      </c>
      <c r="C2" t="str">
        <f>_xlfn.DISPIMG("ID_A1CC678C1D05461B965AB73481DE6BB0",1)</f>
        <v>=DISPIMG("ID_A1CC678C1D05461B965AB73481DE6BB0",1)</v>
      </c>
    </row>
    <row r="3" ht="75" spans="1:3">
      <c r="A3" t="s">
        <v>4</v>
      </c>
      <c r="B3">
        <v>15</v>
      </c>
      <c r="C3" t="str">
        <f>_xlfn.DISPIMG("ID_371D8ECFA8C54351B1EE1EDD7D110C70",1)</f>
        <v>=DISPIMG("ID_371D8ECFA8C54351B1EE1EDD7D110C70",1)</v>
      </c>
    </row>
    <row r="4" ht="62.15" spans="1:3">
      <c r="A4" t="s">
        <v>5</v>
      </c>
      <c r="B4">
        <v>30</v>
      </c>
      <c r="C4" t="str">
        <f>_xlfn.DISPIMG("ID_877F1C98E78842709356FA86F787C0EE",1)</f>
        <v>=DISPIMG("ID_877F1C98E78842709356FA86F787C0EE",1)</v>
      </c>
    </row>
    <row r="5" ht="75" spans="1:3">
      <c r="A5" t="s">
        <v>6</v>
      </c>
      <c r="B5">
        <v>40</v>
      </c>
      <c r="C5" t="str">
        <f>_xlfn.DISPIMG("ID_F42B4D815B4648D6B9EF29D60CFE4E1C",1)</f>
        <v>=DISPIMG("ID_F42B4D815B4648D6B9EF29D60CFE4E1C",1)</v>
      </c>
    </row>
    <row r="6" ht="75" spans="1:3">
      <c r="A6" s="1" t="s">
        <v>7</v>
      </c>
      <c r="B6">
        <v>70</v>
      </c>
      <c r="C6" t="str">
        <f>_xlfn.DISPIMG("ID_FD193F9A7350488399BE042C82FD55E9",1)</f>
        <v>=DISPIMG("ID_FD193F9A7350488399BE042C82FD55E9",1)</v>
      </c>
    </row>
    <row r="7" ht="75" spans="1:3">
      <c r="A7" t="s">
        <v>8</v>
      </c>
      <c r="B7">
        <v>15</v>
      </c>
      <c r="C7" t="str">
        <f>_xlfn.DISPIMG("ID_98140AA2B35F4821A37228BB83508401",1)</f>
        <v>=DISPIMG("ID_98140AA2B35F4821A37228BB83508401",1)</v>
      </c>
    </row>
    <row r="8" ht="71.55" spans="1:3">
      <c r="A8" t="s">
        <v>9</v>
      </c>
      <c r="B8">
        <v>30</v>
      </c>
      <c r="C8" t="str">
        <f>_xlfn.DISPIMG("ID_2C063A372D07490DAA660653ED81BDE3",1)</f>
        <v>=DISPIMG("ID_2C063A372D07490DAA660653ED81BDE3",1)</v>
      </c>
    </row>
    <row r="9" ht="75" spans="1:3">
      <c r="A9" t="s">
        <v>10</v>
      </c>
      <c r="B9">
        <v>40</v>
      </c>
      <c r="C9" t="str">
        <f>_xlfn.DISPIMG("ID_486FD46217394FC486DA5A484F6473AB",1)</f>
        <v>=DISPIMG("ID_486FD46217394FC486DA5A484F6473AB",1)</v>
      </c>
    </row>
    <row r="10" ht="75" spans="1:3">
      <c r="A10" t="s">
        <v>11</v>
      </c>
      <c r="B10">
        <v>70</v>
      </c>
      <c r="C10" t="str">
        <f>_xlfn.DISPIMG("ID_C509AC37E98C4C5C9E5E0CF185DAD7AC",1)</f>
        <v>=DISPIMG("ID_C509AC37E98C4C5C9E5E0CF185DAD7AC",1)</v>
      </c>
    </row>
    <row r="11" ht="61.75" spans="1:3">
      <c r="A11" t="s">
        <v>12</v>
      </c>
      <c r="B11">
        <v>17</v>
      </c>
      <c r="C11" t="str">
        <f>_xlfn.DISPIMG("ID_94E2E6C6B9BE4F4CAB0B9F656F60D8D1",1)</f>
        <v>=DISPIMG("ID_94E2E6C6B9BE4F4CAB0B9F656F60D8D1",1)</v>
      </c>
    </row>
    <row r="12" ht="75" spans="1:3">
      <c r="A12" t="s">
        <v>13</v>
      </c>
      <c r="B12">
        <v>15</v>
      </c>
      <c r="C12" t="str">
        <f>_xlfn.DISPIMG("ID_5230DA99A6AB4E02B83CEA93FCD046FF",1)</f>
        <v>=DISPIMG("ID_5230DA99A6AB4E02B83CEA93FCD046FF",1)</v>
      </c>
    </row>
    <row r="13" ht="65.4" spans="1:3">
      <c r="A13" t="s">
        <v>14</v>
      </c>
      <c r="B13">
        <v>30</v>
      </c>
      <c r="C13" t="str">
        <f>_xlfn.DISPIMG("ID_BC703AA7CF0940A9A034D5BDBEC53BF2",1)</f>
        <v>=DISPIMG("ID_BC703AA7CF0940A9A034D5BDBEC53BF2",1)</v>
      </c>
    </row>
    <row r="14" ht="75" spans="1:3">
      <c r="A14" t="s">
        <v>15</v>
      </c>
      <c r="B14">
        <v>40</v>
      </c>
      <c r="C14" t="str">
        <f>_xlfn.DISPIMG("ID_08F9F832319643DAAB30123B1514E4AB",1)</f>
        <v>=DISPIMG("ID_08F9F832319643DAAB30123B1514E4AB",1)</v>
      </c>
    </row>
    <row r="15" ht="98.15" spans="1:3">
      <c r="A15" t="s">
        <v>16</v>
      </c>
      <c r="B15">
        <v>70</v>
      </c>
      <c r="C15" t="str">
        <f>_xlfn.DISPIMG("ID_85C157A4383B447D9983B46AB6E7D59E",1)</f>
        <v>=DISPIMG("ID_85C157A4383B447D9983B46AB6E7D59E",1)</v>
      </c>
    </row>
    <row r="16" ht="75" spans="1:3">
      <c r="A16" t="s">
        <v>17</v>
      </c>
      <c r="B16">
        <v>15</v>
      </c>
      <c r="C16" t="str">
        <f>_xlfn.DISPIMG("ID_C058A3DB3C2747F985536BD5843F4F54",1)</f>
        <v>=DISPIMG("ID_C058A3DB3C2747F985536BD5843F4F54",1)</v>
      </c>
    </row>
    <row r="17" ht="69.3" spans="1:3">
      <c r="A17" t="s">
        <v>18</v>
      </c>
      <c r="B17">
        <v>30</v>
      </c>
      <c r="C17" t="str">
        <f>_xlfn.DISPIMG("ID_B926342D5F714A26AE7E4A14B938671A",1)</f>
        <v>=DISPIMG("ID_B926342D5F714A26AE7E4A14B938671A",1)</v>
      </c>
    </row>
    <row r="18" ht="75" spans="1:3">
      <c r="A18" t="s">
        <v>19</v>
      </c>
      <c r="B18">
        <v>40</v>
      </c>
      <c r="C18" t="str">
        <f>_xlfn.DISPIMG("ID_CEEE5FB4100B435FB55C6CECA4D5F1C4",1)</f>
        <v>=DISPIMG("ID_CEEE5FB4100B435FB55C6CECA4D5F1C4",1)</v>
      </c>
    </row>
    <row r="19" ht="75" spans="1:3">
      <c r="A19" t="s">
        <v>20</v>
      </c>
      <c r="B19">
        <v>70</v>
      </c>
      <c r="C19" t="str">
        <f>_xlfn.DISPIMG("ID_4F8AC95A94C3407DA71B7B5C1364437D",1)</f>
        <v>=DISPIMG("ID_4F8AC95A94C3407DA71B7B5C1364437D",1)</v>
      </c>
    </row>
    <row r="20" ht="75" spans="1:3">
      <c r="A20" t="s">
        <v>21</v>
      </c>
      <c r="B20">
        <v>40</v>
      </c>
      <c r="C20" t="str">
        <f>_xlfn.DISPIMG("ID_D2F67111567E4955ADAAD8D38293AA06",1)</f>
        <v>=DISPIMG("ID_D2F67111567E4955ADAAD8D38293AA06",1)</v>
      </c>
    </row>
    <row r="21" ht="75" spans="1:3">
      <c r="A21" t="s">
        <v>22</v>
      </c>
      <c r="B21">
        <v>15</v>
      </c>
      <c r="C21" t="str">
        <f>_xlfn.DISPIMG("ID_86ABF725C70D4C67829ABDC2832F3ADB",1)</f>
        <v>=DISPIMG("ID_86ABF725C70D4C67829ABDC2832F3ADB",1)</v>
      </c>
    </row>
    <row r="22" ht="75" spans="1:3">
      <c r="A22" t="s">
        <v>23</v>
      </c>
      <c r="B22">
        <v>35</v>
      </c>
      <c r="C22" t="str">
        <f>_xlfn.DISPIMG("ID_47353D46753341F2BC2A7EDDA2F7546F",1)</f>
        <v>=DISPIMG("ID_47353D46753341F2BC2A7EDDA2F7546F",1)</v>
      </c>
    </row>
    <row r="23" ht="75" spans="1:3">
      <c r="A23" t="s">
        <v>24</v>
      </c>
      <c r="B23">
        <v>75</v>
      </c>
      <c r="C23" t="str">
        <f>_xlfn.DISPIMG("ID_CCC0D2CE0E8C4DC69D5E8C71F235B3AE",1)</f>
        <v>=DISPIMG("ID_CCC0D2CE0E8C4DC69D5E8C71F235B3AE",1)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企业用户_1166536439</cp:lastModifiedBy>
  <dcterms:created xsi:type="dcterms:W3CDTF">2023-05-12T11:15:00Z</dcterms:created>
  <dcterms:modified xsi:type="dcterms:W3CDTF">2026-09-28T09:05:13Z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69ECA4057EDD4A4C820461F512C4B284_12</vt:lpwstr>
  </property>
  <property fmtid="{D5CDD505-2E9C-101B-9397-08002B2CF9AE}" pid="4" name="CalculationRule">
    <vt:i4>0</vt:i4>
  </property>
</Properties>
</file>